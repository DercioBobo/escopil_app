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obo\Downloads\"/>
    </mc:Choice>
  </mc:AlternateContent>
  <xr:revisionPtr revIDLastSave="0" documentId="8_{1060FF44-A657-4C62-A967-2C5DCC651D7F}" xr6:coauthVersionLast="47" xr6:coauthVersionMax="47" xr10:uidLastSave="{00000000-0000-0000-0000-000000000000}"/>
  <bookViews>
    <workbookView xWindow="-108" yWindow="-108" windowWidth="23256" windowHeight="12456" xr2:uid="{6080D48A-B7BD-4292-84C8-CB6C34DD760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3" i="1" l="1"/>
  <c r="P24" i="1" s="1"/>
  <c r="N23" i="1"/>
  <c r="N24" i="1" s="1"/>
  <c r="L23" i="1"/>
  <c r="L24" i="1" s="1"/>
  <c r="J23" i="1"/>
  <c r="J24" i="1" s="1"/>
  <c r="H23" i="1"/>
  <c r="H24" i="1" s="1"/>
  <c r="F23" i="1"/>
  <c r="F24" i="1" s="1"/>
  <c r="C23" i="1"/>
  <c r="C10" i="1"/>
  <c r="C22" i="1" l="1"/>
  <c r="D18" i="1" l="1"/>
  <c r="D15" i="1"/>
  <c r="D14" i="1"/>
  <c r="D8" i="1"/>
  <c r="D17" i="1"/>
  <c r="D16" i="1"/>
  <c r="D9" i="1"/>
  <c r="D13" i="1"/>
  <c r="D12" i="1"/>
  <c r="D11" i="1"/>
  <c r="D21" i="1"/>
  <c r="D20" i="1"/>
  <c r="D19" i="1"/>
  <c r="C24" i="1"/>
  <c r="C25" i="1" s="1"/>
  <c r="D10" i="1"/>
  <c r="D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Nhanssavele</author>
  </authors>
  <commentList>
    <comment ref="B8" authorId="0" shapeId="0" xr:uid="{AA49F1D2-00B3-4217-8A04-AF13E3964475}">
      <text>
        <r>
          <rPr>
            <b/>
            <sz val="9"/>
            <color indexed="81"/>
            <rFont val="Tahoma"/>
            <family val="2"/>
          </rPr>
          <t>António Nhanssavele:</t>
        </r>
        <r>
          <rPr>
            <sz val="9"/>
            <color indexed="81"/>
            <rFont val="Tahoma"/>
            <family val="2"/>
          </rPr>
          <t xml:space="preserve">
Subsidio de alimentação
Subsidio de Alojamento
Subsidio de liderança/isenção de horario
(Aplicavel ao Consultor/cordenador do projecto, alguns supervisores e Enginheiros)</t>
        </r>
      </text>
    </comment>
    <comment ref="C14" authorId="0" shapeId="0" xr:uid="{A87B6EC3-FDE7-4B7E-A03E-0B9DF0DEAADF}">
      <text>
        <r>
          <rPr>
            <b/>
            <sz val="9"/>
            <color indexed="81"/>
            <rFont val="Tahoma"/>
            <family val="2"/>
          </rPr>
          <t>António Nhanssavele:</t>
        </r>
        <r>
          <rPr>
            <sz val="9"/>
            <color indexed="81"/>
            <rFont val="Tahoma"/>
            <family val="2"/>
          </rPr>
          <t xml:space="preserve">
riscos de inflação do preço</t>
        </r>
      </text>
    </comment>
    <comment ref="C23" authorId="0" shapeId="0" xr:uid="{C8EE675F-A635-4113-AF68-7D848231C44F}">
      <text>
        <r>
          <rPr>
            <b/>
            <sz val="9"/>
            <color indexed="81"/>
            <rFont val="Tahoma"/>
            <family val="2"/>
          </rPr>
          <t>António Nhanssavele:</t>
        </r>
        <r>
          <rPr>
            <sz val="9"/>
            <color indexed="81"/>
            <rFont val="Tahoma"/>
            <family val="2"/>
          </rPr>
          <t xml:space="preserve">
Considera 10% de variação</t>
        </r>
      </text>
    </comment>
  </commentList>
</comments>
</file>

<file path=xl/sharedStrings.xml><?xml version="1.0" encoding="utf-8"?>
<sst xmlns="http://schemas.openxmlformats.org/spreadsheetml/2006/main" count="28" uniqueCount="28">
  <si>
    <t>#</t>
  </si>
  <si>
    <t>Descrição</t>
  </si>
  <si>
    <t>Previsão mensal</t>
  </si>
  <si>
    <t>Peso por rubrica</t>
  </si>
  <si>
    <t>Maio</t>
  </si>
  <si>
    <t>Junho</t>
  </si>
  <si>
    <t>Julho</t>
  </si>
  <si>
    <t>Agostp</t>
  </si>
  <si>
    <t>Setembro</t>
  </si>
  <si>
    <t>Outubro</t>
  </si>
  <si>
    <t>Salarios Mão de obra direta + Impostos</t>
  </si>
  <si>
    <t>Salarios Mão de obra indireta + impostos</t>
  </si>
  <si>
    <t>Colaboradores realocados MPT-TET</t>
  </si>
  <si>
    <t xml:space="preserve">Alimentação </t>
  </si>
  <si>
    <t>Transporte - Bus</t>
  </si>
  <si>
    <t>Transporte - Pick Up</t>
  </si>
  <si>
    <t>Combustivel</t>
  </si>
  <si>
    <t xml:space="preserve">Viagens </t>
  </si>
  <si>
    <t>Custos (Seguros e plano de saude)</t>
  </si>
  <si>
    <t>Equipamentos tercerizado</t>
  </si>
  <si>
    <t>Ferramentas e equipamentos</t>
  </si>
  <si>
    <t>Material de safety</t>
  </si>
  <si>
    <t>Consumiveis</t>
  </si>
  <si>
    <t>Custos administrativos</t>
  </si>
  <si>
    <t xml:space="preserve">Total de custos </t>
  </si>
  <si>
    <t>Valor a cobrar (HR + P&amp;G)</t>
  </si>
  <si>
    <t xml:space="preserve">Margem </t>
  </si>
  <si>
    <t>Margem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</si>
</sst>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\ [$MZN];\-#,##0.00\ [$MZN]"/>
    <numFmt numFmtId="165" formatCode="[$$-409]#,##0.00_ ;\-[$$-409]#,##0.00\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1" applyNumberFormat="1" applyFont="1" applyBorder="1" applyAlignment="1">
      <alignment horizontal="right"/>
    </xf>
    <xf numFmtId="9" fontId="0" fillId="0" borderId="1" xfId="2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horizontal="center" vertical="center"/>
    </xf>
    <xf numFmtId="9" fontId="7" fillId="5" borderId="1" xfId="2" applyFont="1" applyFill="1" applyBorder="1" applyAlignment="1">
      <alignment vertical="center"/>
    </xf>
    <xf numFmtId="165" fontId="6" fillId="5" borderId="0" xfId="1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9" fontId="8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center"/>
    </xf>
    <xf numFmtId="0" fontId="8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Bobo\Downloads\Planeamento%20-%20modelo.xlsx" TargetMode="External"/><Relationship Id="rId1" Type="http://schemas.openxmlformats.org/officeDocument/2006/relationships/externalLinkPath" Target="Planeamento%20-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"/>
      <sheetName val="Grau do cumprimento"/>
      <sheetName val="Sheet1"/>
      <sheetName val="Colab realolcados"/>
      <sheetName val="Man power"/>
      <sheetName val="EQUI"/>
      <sheetName val="HC"/>
    </sheetNames>
    <sheetDataSet>
      <sheetData sheetId="0"/>
      <sheetData sheetId="1"/>
      <sheetData sheetId="2"/>
      <sheetData sheetId="3">
        <row r="6">
          <cell r="F6">
            <v>235000</v>
          </cell>
        </row>
      </sheetData>
      <sheetData sheetId="4">
        <row r="19">
          <cell r="AR19">
            <v>309461.3998424795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6332-ED9C-4CF4-B66A-6D7198B5F113}">
  <dimension ref="A2:P27"/>
  <sheetViews>
    <sheetView tabSelected="1" zoomScale="55" zoomScaleNormal="55" workbookViewId="0">
      <selection sqref="A1:XFD1048576"/>
    </sheetView>
  </sheetViews>
  <sheetFormatPr defaultRowHeight="14.4" x14ac:dyDescent="0.3"/>
  <cols>
    <col min="1" max="1" width="9.5546875" style="1" customWidth="1"/>
    <col min="2" max="2" width="74.6640625" customWidth="1"/>
    <col min="3" max="3" width="31.5546875" style="1" bestFit="1" customWidth="1"/>
    <col min="4" max="4" width="16.33203125" style="1" customWidth="1"/>
    <col min="5" max="5" width="1.21875" customWidth="1"/>
    <col min="6" max="6" width="28.88671875" style="1" customWidth="1"/>
    <col min="7" max="7" width="1.44140625" customWidth="1"/>
    <col min="8" max="8" width="28.88671875" style="1" customWidth="1"/>
    <col min="9" max="9" width="1.21875" customWidth="1"/>
    <col min="10" max="10" width="28.88671875" style="1" customWidth="1"/>
    <col min="11" max="11" width="1.21875" customWidth="1"/>
    <col min="12" max="12" width="28.88671875" style="1" customWidth="1"/>
    <col min="13" max="13" width="1.21875" customWidth="1"/>
    <col min="14" max="14" width="28.88671875" style="1" customWidth="1"/>
    <col min="15" max="15" width="1.21875" customWidth="1"/>
    <col min="16" max="16" width="28.88671875" style="1" customWidth="1"/>
  </cols>
  <sheetData>
    <row r="2" spans="1:16" hidden="1" x14ac:dyDescent="0.3"/>
    <row r="3" spans="1:16" hidden="1" x14ac:dyDescent="0.3"/>
    <row r="4" spans="1:16" hidden="1" x14ac:dyDescent="0.3"/>
    <row r="5" spans="1:16" hidden="1" x14ac:dyDescent="0.3"/>
    <row r="7" spans="1:16" s="4" customFormat="1" ht="51.6" x14ac:dyDescent="0.3">
      <c r="A7" s="2" t="s">
        <v>0</v>
      </c>
      <c r="B7" s="2" t="s">
        <v>1</v>
      </c>
      <c r="C7" s="2" t="s">
        <v>2</v>
      </c>
      <c r="D7" s="3" t="s">
        <v>3</v>
      </c>
      <c r="F7" s="5" t="s">
        <v>4</v>
      </c>
      <c r="H7" s="5" t="s">
        <v>5</v>
      </c>
      <c r="J7" s="5" t="s">
        <v>6</v>
      </c>
      <c r="L7" s="5" t="s">
        <v>7</v>
      </c>
      <c r="N7" s="5" t="s">
        <v>8</v>
      </c>
      <c r="P7" s="5" t="s">
        <v>9</v>
      </c>
    </row>
    <row r="8" spans="1:16" ht="25.8" x14ac:dyDescent="0.5">
      <c r="A8" s="6">
        <v>1</v>
      </c>
      <c r="B8" s="7" t="s">
        <v>10</v>
      </c>
      <c r="C8" s="8">
        <v>8523000</v>
      </c>
      <c r="D8" s="9">
        <f>+C8/C$22</f>
        <v>0.5015436383471864</v>
      </c>
      <c r="F8" s="10"/>
      <c r="H8" s="10"/>
      <c r="J8" s="10"/>
      <c r="L8" s="10"/>
      <c r="N8" s="10"/>
      <c r="P8" s="10"/>
    </row>
    <row r="9" spans="1:16" ht="25.8" x14ac:dyDescent="0.5">
      <c r="A9" s="6">
        <v>2</v>
      </c>
      <c r="B9" s="7" t="s">
        <v>11</v>
      </c>
      <c r="C9" s="8">
        <v>1820000</v>
      </c>
      <c r="D9" s="9">
        <f t="shared" ref="D9:D21" si="0">+C9/C$22</f>
        <v>0.10709954497147475</v>
      </c>
      <c r="F9" s="10"/>
      <c r="H9" s="10"/>
      <c r="J9" s="10"/>
      <c r="L9" s="10"/>
      <c r="N9" s="10"/>
      <c r="P9" s="10"/>
    </row>
    <row r="10" spans="1:16" ht="25.8" x14ac:dyDescent="0.5">
      <c r="A10" s="6">
        <v>3</v>
      </c>
      <c r="B10" s="7" t="s">
        <v>12</v>
      </c>
      <c r="C10" s="11">
        <f>'[1]Colab realolcados'!F6</f>
        <v>235000</v>
      </c>
      <c r="D10" s="9">
        <f t="shared" si="0"/>
        <v>1.382878740016295E-2</v>
      </c>
      <c r="F10" s="10"/>
      <c r="H10" s="10"/>
      <c r="J10" s="10"/>
      <c r="L10" s="10"/>
      <c r="N10" s="10"/>
      <c r="P10" s="10"/>
    </row>
    <row r="11" spans="1:16" ht="25.8" x14ac:dyDescent="0.5">
      <c r="A11" s="6">
        <v>4</v>
      </c>
      <c r="B11" s="7" t="s">
        <v>13</v>
      </c>
      <c r="C11" s="8">
        <v>1587600</v>
      </c>
      <c r="D11" s="9">
        <f t="shared" si="0"/>
        <v>9.3423756921271056E-2</v>
      </c>
      <c r="F11" s="10"/>
      <c r="H11" s="10"/>
      <c r="J11" s="10"/>
      <c r="L11" s="10"/>
      <c r="N11" s="10"/>
      <c r="P11" s="10"/>
    </row>
    <row r="12" spans="1:16" ht="25.8" x14ac:dyDescent="0.5">
      <c r="A12" s="6">
        <v>5</v>
      </c>
      <c r="B12" s="7" t="s">
        <v>14</v>
      </c>
      <c r="C12" s="8">
        <v>1106000</v>
      </c>
      <c r="D12" s="9">
        <f t="shared" si="0"/>
        <v>6.5083569636511587E-2</v>
      </c>
      <c r="F12" s="10"/>
      <c r="H12" s="10"/>
      <c r="J12" s="10"/>
      <c r="L12" s="10"/>
      <c r="N12" s="10"/>
      <c r="P12" s="10"/>
    </row>
    <row r="13" spans="1:16" ht="25.8" x14ac:dyDescent="0.5">
      <c r="A13" s="6">
        <v>6</v>
      </c>
      <c r="B13" s="7" t="s">
        <v>15</v>
      </c>
      <c r="C13" s="8">
        <v>210000</v>
      </c>
      <c r="D13" s="9">
        <f t="shared" si="0"/>
        <v>1.2357639804400933E-2</v>
      </c>
      <c r="F13" s="10"/>
      <c r="H13" s="10"/>
      <c r="J13" s="10"/>
      <c r="L13" s="10"/>
      <c r="N13" s="10"/>
      <c r="P13" s="10"/>
    </row>
    <row r="14" spans="1:16" s="14" customFormat="1" ht="25.8" x14ac:dyDescent="0.5">
      <c r="A14" s="12">
        <v>7</v>
      </c>
      <c r="B14" s="13" t="s">
        <v>16</v>
      </c>
      <c r="C14" s="11">
        <v>990000</v>
      </c>
      <c r="D14" s="9">
        <f t="shared" si="0"/>
        <v>5.825744479217583E-2</v>
      </c>
      <c r="F14" s="10"/>
      <c r="H14" s="10"/>
      <c r="J14" s="10"/>
      <c r="L14" s="10"/>
      <c r="N14" s="10"/>
      <c r="P14" s="10"/>
    </row>
    <row r="15" spans="1:16" s="14" customFormat="1" ht="25.8" x14ac:dyDescent="0.5">
      <c r="A15" s="12">
        <v>8</v>
      </c>
      <c r="B15" s="13" t="s">
        <v>17</v>
      </c>
      <c r="C15" s="11">
        <v>90000</v>
      </c>
      <c r="D15" s="9">
        <f t="shared" si="0"/>
        <v>5.2961313447432573E-3</v>
      </c>
      <c r="F15" s="10"/>
      <c r="H15" s="10"/>
      <c r="J15" s="10"/>
      <c r="L15" s="10"/>
      <c r="N15" s="10"/>
      <c r="P15" s="10"/>
    </row>
    <row r="16" spans="1:16" ht="25.8" x14ac:dyDescent="0.5">
      <c r="A16" s="6">
        <v>9</v>
      </c>
      <c r="B16" s="7" t="s">
        <v>18</v>
      </c>
      <c r="C16" s="8">
        <v>836041.85288282705</v>
      </c>
      <c r="D16" s="9">
        <f t="shared" si="0"/>
        <v>4.9197638472999683E-2</v>
      </c>
      <c r="F16" s="10"/>
      <c r="H16" s="10"/>
      <c r="J16" s="10"/>
      <c r="L16" s="10"/>
      <c r="N16" s="10"/>
      <c r="P16" s="10"/>
    </row>
    <row r="17" spans="1:16" ht="25.8" x14ac:dyDescent="0.5">
      <c r="A17" s="6">
        <v>10</v>
      </c>
      <c r="B17" s="7" t="s">
        <v>19</v>
      </c>
      <c r="C17" s="8">
        <v>0</v>
      </c>
      <c r="D17" s="9">
        <f t="shared" si="0"/>
        <v>0</v>
      </c>
      <c r="F17" s="10"/>
      <c r="H17" s="10"/>
      <c r="J17" s="10"/>
      <c r="L17" s="10"/>
      <c r="N17" s="10"/>
      <c r="P17" s="10"/>
    </row>
    <row r="18" spans="1:16" ht="25.8" x14ac:dyDescent="0.5">
      <c r="A18" s="6">
        <v>11</v>
      </c>
      <c r="B18" s="7" t="s">
        <v>20</v>
      </c>
      <c r="C18" s="8">
        <v>385782.36655776226</v>
      </c>
      <c r="D18" s="9">
        <f t="shared" si="0"/>
        <v>2.2701712041953308E-2</v>
      </c>
      <c r="F18" s="10"/>
      <c r="H18" s="10"/>
      <c r="J18" s="10"/>
      <c r="L18" s="10"/>
      <c r="N18" s="10"/>
      <c r="P18" s="10"/>
    </row>
    <row r="19" spans="1:16" ht="25.8" x14ac:dyDescent="0.5">
      <c r="A19" s="6">
        <v>12</v>
      </c>
      <c r="B19" s="7" t="s">
        <v>21</v>
      </c>
      <c r="C19" s="8">
        <v>382958.54703458567</v>
      </c>
      <c r="D19" s="9">
        <f t="shared" si="0"/>
        <v>2.2535541829857824E-2</v>
      </c>
      <c r="F19" s="10"/>
      <c r="H19" s="10"/>
      <c r="J19" s="10"/>
      <c r="L19" s="10"/>
      <c r="N19" s="10"/>
      <c r="P19" s="10"/>
    </row>
    <row r="20" spans="1:16" ht="25.8" x14ac:dyDescent="0.5">
      <c r="A20" s="6">
        <v>13</v>
      </c>
      <c r="B20" s="7" t="s">
        <v>22</v>
      </c>
      <c r="C20" s="8">
        <v>77028.298999999999</v>
      </c>
      <c r="D20" s="9">
        <f t="shared" si="0"/>
        <v>4.5327998751795075E-3</v>
      </c>
      <c r="F20" s="10"/>
      <c r="H20" s="10"/>
      <c r="J20" s="10"/>
      <c r="L20" s="10"/>
      <c r="N20" s="10"/>
      <c r="P20" s="10"/>
    </row>
    <row r="21" spans="1:16" ht="25.8" x14ac:dyDescent="0.5">
      <c r="A21" s="6">
        <v>14</v>
      </c>
      <c r="B21" s="7" t="s">
        <v>23</v>
      </c>
      <c r="C21" s="8">
        <v>750125.18610035523</v>
      </c>
      <c r="D21" s="9">
        <f t="shared" si="0"/>
        <v>4.4141794562082892E-2</v>
      </c>
      <c r="F21" s="10"/>
      <c r="H21" s="10"/>
      <c r="J21" s="10"/>
      <c r="L21" s="10"/>
      <c r="N21" s="10"/>
      <c r="P21" s="10"/>
    </row>
    <row r="22" spans="1:16" ht="25.8" x14ac:dyDescent="0.5">
      <c r="A22" s="6"/>
      <c r="B22" s="15" t="s">
        <v>24</v>
      </c>
      <c r="C22" s="16">
        <f>SUM(C8:C21)</f>
        <v>16993536.25157553</v>
      </c>
      <c r="D22" s="17"/>
      <c r="F22" s="10"/>
      <c r="H22" s="10"/>
      <c r="J22" s="10"/>
      <c r="L22" s="10"/>
      <c r="N22" s="10"/>
      <c r="P22" s="10"/>
    </row>
    <row r="23" spans="1:16" s="4" customFormat="1" ht="25.8" x14ac:dyDescent="0.3">
      <c r="A23" s="18"/>
      <c r="B23" s="19" t="s">
        <v>25</v>
      </c>
      <c r="C23" s="20">
        <f>'[1]Man power'!AR19*64.5</f>
        <v>19960260.289839927</v>
      </c>
      <c r="D23" s="21">
        <f>SUM(D8:D22)</f>
        <v>1</v>
      </c>
      <c r="F23" s="22">
        <f>+E23/64.5</f>
        <v>0</v>
      </c>
      <c r="H23" s="22">
        <f>+G23/64.5</f>
        <v>0</v>
      </c>
      <c r="J23" s="22">
        <f>+I23/64.5</f>
        <v>0</v>
      </c>
      <c r="L23" s="22">
        <f>+K23/64.5</f>
        <v>0</v>
      </c>
      <c r="N23" s="22">
        <f>+M23/64.5</f>
        <v>0</v>
      </c>
      <c r="P23" s="22">
        <f>+O23/64.5</f>
        <v>0</v>
      </c>
    </row>
    <row r="24" spans="1:16" s="4" customFormat="1" ht="25.8" x14ac:dyDescent="0.3">
      <c r="A24" s="23"/>
      <c r="B24" s="24" t="s">
        <v>26</v>
      </c>
      <c r="C24" s="25">
        <f>C23-C22</f>
        <v>2966724.0382643975</v>
      </c>
      <c r="D24" s="26"/>
      <c r="F24" s="25">
        <f>F23-F22</f>
        <v>0</v>
      </c>
      <c r="H24" s="25">
        <f>H23-H22</f>
        <v>0</v>
      </c>
      <c r="J24" s="25">
        <f>J23-J22</f>
        <v>0</v>
      </c>
      <c r="L24" s="25">
        <f>L23-L22</f>
        <v>0</v>
      </c>
      <c r="N24" s="25">
        <f>N23-N22</f>
        <v>0</v>
      </c>
      <c r="P24" s="25">
        <f>P23-P22</f>
        <v>0</v>
      </c>
    </row>
    <row r="25" spans="1:16" ht="21" x14ac:dyDescent="0.4">
      <c r="A25" s="27"/>
      <c r="B25" s="28" t="s">
        <v>27</v>
      </c>
      <c r="C25" s="29">
        <f>C24/C23</f>
        <v>0.14863153061057549</v>
      </c>
      <c r="D25" s="17"/>
      <c r="F25" s="29">
        <v>0</v>
      </c>
      <c r="H25" s="29">
        <v>0</v>
      </c>
      <c r="J25" s="29">
        <v>0</v>
      </c>
      <c r="L25" s="29">
        <v>0</v>
      </c>
      <c r="N25" s="29">
        <v>0</v>
      </c>
      <c r="P25" s="29">
        <v>0</v>
      </c>
    </row>
    <row r="26" spans="1:16" ht="21" x14ac:dyDescent="0.4">
      <c r="A26" s="30"/>
      <c r="B26" s="31"/>
      <c r="C26" s="32"/>
    </row>
    <row r="27" spans="1:16" ht="21" x14ac:dyDescent="0.4">
      <c r="A27" s="30"/>
      <c r="B27" s="33"/>
      <c r="C27" s="3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Dércio Bobo</dc:creator>
  <cp:lastModifiedBy>Dércio Bobo</cp:lastModifiedBy>
  <dcterms:created xsi:type="dcterms:W3CDTF">2026-07-21T21:24:53Z</dcterms:created>
  <dcterms:modified xsi:type="dcterms:W3CDTF">2026-07-21T21:25:31Z</dcterms:modified>
</cp:coreProperties>
</file>